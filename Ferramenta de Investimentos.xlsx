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nialfa\Downloads\"/>
    </mc:Choice>
  </mc:AlternateContent>
  <xr:revisionPtr revIDLastSave="0" documentId="13_ncr:1_{8C26CD64-1F8B-4B4E-96A7-F29F734B4B43}" xr6:coauthVersionLast="47" xr6:coauthVersionMax="47" xr10:uidLastSave="{00000000-0000-0000-0000-000000000000}"/>
  <bookViews>
    <workbookView xWindow="-108" yWindow="-108" windowWidth="23256" windowHeight="12456" tabRatio="328" xr2:uid="{00000000-000D-0000-FFFF-FFFF00000000}"/>
  </bookViews>
  <sheets>
    <sheet name="Visão" sheetId="2" r:id="rId1"/>
    <sheet name="BaseApo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9" i="2"/>
  <c r="C20" i="2"/>
  <c r="C21" i="2"/>
  <c r="C22" i="2"/>
  <c r="D19" i="2"/>
  <c r="C17" i="2"/>
  <c r="D34" i="2"/>
  <c r="D35" i="2"/>
  <c r="D36" i="2"/>
  <c r="D37" i="2"/>
  <c r="D33" i="2"/>
  <c r="D30" i="2"/>
  <c r="D29" i="2"/>
  <c r="D11" i="2" l="1"/>
  <c r="D14" i="2" s="1"/>
  <c r="F20" i="3"/>
  <c r="F14" i="3"/>
  <c r="F8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C37" i="2"/>
  <c r="C36" i="2"/>
  <c r="C35" i="2"/>
  <c r="C34" i="2"/>
  <c r="C33" i="2"/>
  <c r="D20" i="2" l="1"/>
  <c r="D22" i="2"/>
  <c r="D21" i="2"/>
  <c r="D18" i="2"/>
  <c r="D17" i="2"/>
  <c r="D23" i="2" l="1"/>
</calcChain>
</file>

<file path=xl/sharedStrings.xml><?xml version="1.0" encoding="utf-8"?>
<sst xmlns="http://schemas.openxmlformats.org/spreadsheetml/2006/main" count="73" uniqueCount="33">
  <si>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</si>
  <si>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</si>
  <si>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</si>
  <si>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</si>
  <si>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</si>
  <si>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</si>
  <si>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</si>
  <si>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</si>
  <si>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</si>
  <si>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</si>
  <si>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</si>
  <si>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</si>
  <si>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PERFIL</t>
  </si>
  <si>
    <t>Moderado</t>
  </si>
  <si>
    <t>TIPO DE FII</t>
  </si>
  <si>
    <t>Valores</t>
  </si>
  <si>
    <t>FOFs</t>
  </si>
  <si>
    <t>CHAVE</t>
  </si>
  <si>
    <t>%</t>
  </si>
  <si>
    <t>Conservador</t>
  </si>
  <si>
    <t>Agressivo</t>
  </si>
  <si>
    <t>%  Sugerido</t>
  </si>
  <si>
    <t>VALOR DO INVESTIMENTO MENSAL</t>
  </si>
  <si>
    <t>Projeção para 2 Anos ?</t>
  </si>
  <si>
    <t>Projeção para 5 Anos ?</t>
  </si>
  <si>
    <t>Projeção para 10 Anos ?</t>
  </si>
  <si>
    <t>Projeção para 20 Anos ?</t>
  </si>
  <si>
    <t>Projeção para 30 Anos ?</t>
  </si>
  <si>
    <t>Papel</t>
  </si>
  <si>
    <t>Tijolo</t>
  </si>
  <si>
    <t>Desenvolvimento</t>
  </si>
  <si>
    <t>Hotelaria</t>
  </si>
  <si>
    <t>Híbrido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</si>
</sst>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6" xfId="0" applyFont="1" applyFill="1" applyBorder="1"/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9" fontId="3" fillId="4" borderId="7" xfId="0" applyNumberFormat="1" applyFont="1" applyFill="1" applyBorder="1" applyAlignment="1">
      <alignment horizontal="center"/>
    </xf>
    <xf numFmtId="0" fontId="3" fillId="4" borderId="8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center"/>
    </xf>
    <xf numFmtId="9" fontId="3" fillId="4" borderId="9" xfId="0" applyNumberFormat="1" applyFont="1" applyFill="1" applyBorder="1" applyAlignment="1">
      <alignment horizontal="center"/>
    </xf>
    <xf numFmtId="0" fontId="3" fillId="5" borderId="6" xfId="0" applyFont="1" applyFill="1" applyBorder="1"/>
    <xf numFmtId="0" fontId="3" fillId="5" borderId="0" xfId="0" applyFont="1" applyFill="1" applyBorder="1"/>
    <xf numFmtId="0" fontId="3" fillId="5" borderId="0" xfId="0" applyFont="1" applyFill="1" applyBorder="1" applyAlignment="1">
      <alignment horizontal="center"/>
    </xf>
    <xf numFmtId="9" fontId="3" fillId="5" borderId="7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horizontal="center"/>
    </xf>
    <xf numFmtId="9" fontId="3" fillId="5" borderId="9" xfId="0" applyNumberFormat="1" applyFont="1" applyFill="1" applyBorder="1" applyAlignment="1">
      <alignment horizontal="center"/>
    </xf>
    <xf numFmtId="0" fontId="3" fillId="6" borderId="6" xfId="0" applyFont="1" applyFill="1" applyBorder="1"/>
    <xf numFmtId="0" fontId="3" fillId="6" borderId="0" xfId="0" applyFont="1" applyFill="1" applyBorder="1"/>
    <xf numFmtId="0" fontId="3" fillId="6" borderId="0" xfId="0" applyFont="1" applyFill="1" applyBorder="1" applyAlignment="1">
      <alignment horizontal="center"/>
    </xf>
    <xf numFmtId="9" fontId="3" fillId="6" borderId="7" xfId="0" applyNumberFormat="1" applyFont="1" applyFill="1" applyBorder="1" applyAlignment="1">
      <alignment horizontal="center"/>
    </xf>
    <xf numFmtId="0" fontId="3" fillId="6" borderId="8" xfId="0" applyFont="1" applyFill="1" applyBorder="1"/>
    <xf numFmtId="0" fontId="3" fillId="6" borderId="4" xfId="0" applyFont="1" applyFill="1" applyBorder="1"/>
    <xf numFmtId="0" fontId="3" fillId="6" borderId="4" xfId="0" applyFont="1" applyFill="1" applyBorder="1" applyAlignment="1">
      <alignment horizontal="center"/>
    </xf>
    <xf numFmtId="9" fontId="3" fillId="6" borderId="9" xfId="0" applyNumberFormat="1" applyFont="1" applyFill="1" applyBorder="1" applyAlignment="1">
      <alignment horizontal="center"/>
    </xf>
    <xf numFmtId="9" fontId="3" fillId="5" borderId="0" xfId="0" applyNumberFormat="1" applyFont="1" applyFill="1" applyAlignment="1">
      <alignment horizontal="center"/>
    </xf>
    <xf numFmtId="9" fontId="3" fillId="4" borderId="0" xfId="0" applyNumberFormat="1" applyFont="1" applyFill="1" applyAlignment="1">
      <alignment horizontal="center"/>
    </xf>
    <xf numFmtId="9" fontId="3" fillId="6" borderId="0" xfId="0" applyNumberFormat="1" applyFont="1" applyFill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10" xfId="0" applyFont="1" applyFill="1" applyBorder="1" applyAlignment="1">
      <alignment horizontal="center"/>
    </xf>
    <xf numFmtId="0" fontId="3" fillId="0" borderId="0" xfId="0" applyFont="1" applyFill="1"/>
    <xf numFmtId="0" fontId="4" fillId="0" borderId="0" xfId="0" applyFont="1" applyFill="1"/>
    <xf numFmtId="0" fontId="6" fillId="0" borderId="0" xfId="0" applyFont="1" applyFill="1"/>
    <xf numFmtId="164" fontId="4" fillId="0" borderId="5" xfId="0" applyNumberFormat="1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164" fontId="3" fillId="0" borderId="18" xfId="1" applyNumberFormat="1" applyFont="1" applyFill="1" applyBorder="1" applyAlignment="1">
      <alignment horizontal="center"/>
    </xf>
    <xf numFmtId="164" fontId="3" fillId="0" borderId="21" xfId="0" applyNumberFormat="1" applyFont="1" applyFill="1" applyBorder="1" applyAlignment="1">
      <alignment horizontal="center"/>
    </xf>
    <xf numFmtId="0" fontId="5" fillId="9" borderId="13" xfId="2" applyFont="1" applyFill="1" applyBorder="1" applyAlignment="1">
      <alignment horizontal="center"/>
    </xf>
    <xf numFmtId="0" fontId="5" fillId="9" borderId="14" xfId="2" applyFont="1" applyFill="1" applyBorder="1" applyAlignment="1">
      <alignment horizontal="center"/>
    </xf>
    <xf numFmtId="0" fontId="5" fillId="9" borderId="15" xfId="2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4" fontId="4" fillId="0" borderId="21" xfId="1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9" fontId="3" fillId="0" borderId="17" xfId="0" applyNumberFormat="1" applyFont="1" applyFill="1" applyBorder="1" applyAlignment="1">
      <alignment horizontal="center"/>
    </xf>
    <xf numFmtId="164" fontId="3" fillId="0" borderId="18" xfId="0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9" fontId="3" fillId="0" borderId="20" xfId="0" applyNumberFormat="1" applyFont="1" applyFill="1" applyBorder="1" applyAlignment="1">
      <alignment horizontal="center"/>
    </xf>
    <xf numFmtId="164" fontId="4" fillId="0" borderId="18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left" indent="4"/>
    </xf>
    <xf numFmtId="0" fontId="4" fillId="8" borderId="17" xfId="0" applyFont="1" applyFill="1" applyBorder="1" applyAlignment="1">
      <alignment horizontal="left" indent="4"/>
    </xf>
    <xf numFmtId="0" fontId="4" fillId="8" borderId="19" xfId="0" applyFont="1" applyFill="1" applyBorder="1" applyAlignment="1">
      <alignment horizontal="left" indent="4"/>
    </xf>
    <xf numFmtId="0" fontId="4" fillId="8" borderId="20" xfId="0" applyFont="1" applyFill="1" applyBorder="1" applyAlignment="1">
      <alignment horizontal="left" indent="4"/>
    </xf>
    <xf numFmtId="0" fontId="5" fillId="11" borderId="13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left" indent="3"/>
    </xf>
    <xf numFmtId="0" fontId="3" fillId="12" borderId="17" xfId="0" applyFont="1" applyFill="1" applyBorder="1" applyAlignment="1">
      <alignment horizontal="left" indent="3"/>
    </xf>
    <xf numFmtId="0" fontId="4" fillId="12" borderId="16" xfId="0" applyFont="1" applyFill="1" applyBorder="1" applyAlignment="1">
      <alignment horizontal="left" indent="3"/>
    </xf>
    <xf numFmtId="0" fontId="4" fillId="12" borderId="17" xfId="0" applyFont="1" applyFill="1" applyBorder="1" applyAlignment="1">
      <alignment horizontal="left" indent="3"/>
    </xf>
    <xf numFmtId="0" fontId="4" fillId="12" borderId="19" xfId="0" applyFont="1" applyFill="1" applyBorder="1" applyAlignment="1">
      <alignment horizontal="left" indent="3"/>
    </xf>
    <xf numFmtId="0" fontId="4" fillId="12" borderId="20" xfId="0" applyFont="1" applyFill="1" applyBorder="1" applyAlignment="1">
      <alignment horizontal="left" indent="3"/>
    </xf>
    <xf numFmtId="8" fontId="4" fillId="12" borderId="18" xfId="0" applyNumberFormat="1" applyFont="1" applyFill="1" applyBorder="1" applyAlignment="1">
      <alignment horizontal="center"/>
    </xf>
    <xf numFmtId="8" fontId="4" fillId="12" borderId="21" xfId="0" applyNumberFormat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165" fontId="3" fillId="0" borderId="18" xfId="0" applyNumberFormat="1" applyFont="1" applyFill="1" applyBorder="1" applyAlignment="1">
      <alignment horizontal="center"/>
    </xf>
    <xf numFmtId="0" fontId="3" fillId="14" borderId="16" xfId="0" applyFont="1" applyFill="1" applyBorder="1" applyAlignment="1">
      <alignment horizontal="left" indent="3"/>
    </xf>
    <xf numFmtId="164" fontId="3" fillId="14" borderId="17" xfId="0" applyNumberFormat="1" applyFont="1" applyFill="1" applyBorder="1" applyAlignment="1">
      <alignment horizontal="center"/>
    </xf>
    <xf numFmtId="164" fontId="3" fillId="14" borderId="18" xfId="0" applyNumberFormat="1" applyFont="1" applyFill="1" applyBorder="1" applyAlignment="1">
      <alignment horizontal="center"/>
    </xf>
    <xf numFmtId="0" fontId="3" fillId="14" borderId="19" xfId="0" applyFont="1" applyFill="1" applyBorder="1" applyAlignment="1">
      <alignment horizontal="left" indent="3"/>
    </xf>
    <xf numFmtId="164" fontId="3" fillId="14" borderId="20" xfId="0" applyNumberFormat="1" applyFont="1" applyFill="1" applyBorder="1" applyAlignment="1">
      <alignment horizontal="center"/>
    </xf>
    <xf numFmtId="164" fontId="3" fillId="14" borderId="21" xfId="0" applyNumberFormat="1" applyFont="1" applyFill="1" applyBorder="1" applyAlignment="1">
      <alignment horizontal="center"/>
    </xf>
    <xf numFmtId="165" fontId="4" fillId="0" borderId="18" xfId="0" applyNumberFormat="1" applyFont="1" applyFill="1" applyBorder="1" applyAlignment="1">
      <alignment horizontal="center"/>
    </xf>
    <xf numFmtId="164" fontId="3" fillId="8" borderId="21" xfId="0" applyNumberFormat="1" applyFon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729403329717747E-2"/>
          <c:y val="4.6719194022766274E-2"/>
          <c:w val="0.52513480300947091"/>
          <c:h val="0.93224004198212285"/>
        </c:manualLayout>
      </c:layout>
      <c:pieChart>
        <c:varyColors val="1"/>
        <c:ser>
          <c:idx val="0"/>
          <c:order val="0"/>
          <c:tx>
            <c:strRef>
              <c:f>Visão!$C$16</c:f>
              <c:strCache>
                <c:ptCount val="1"/>
                <c:pt idx="0">
                  <c:v>% 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3D-46F3-9A31-8979E3F9B0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3D-46F3-9A31-8979E3F9B0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3D-46F3-9A31-8979E3F9B0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3D-46F3-9A31-8979E3F9B0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3D-46F3-9A31-8979E3F9B0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3D-46F3-9A31-8979E3F9B0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Visão!$B$17:$B$22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Visão!$C$17:$C$22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3D-46F3-9A31-8979E3F9B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90736873344783"/>
          <c:y val="0.2337007597455393"/>
          <c:w val="0.24072483015504756"/>
          <c:h val="0.53259806632065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50346</xdr:colOff>
      <xdr:row>37</xdr:row>
      <xdr:rowOff>97971</xdr:rowOff>
    </xdr:from>
    <xdr:to>
      <xdr:col>3</xdr:col>
      <xdr:colOff>945515</xdr:colOff>
      <xdr:row>50</xdr:row>
      <xdr:rowOff>35832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FC8DF2-C99B-4FED-B7BD-87DA2141A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4154</xdr:colOff>
      <xdr:row>1</xdr:row>
      <xdr:rowOff>7621</xdr:rowOff>
    </xdr:from>
    <xdr:to>
      <xdr:col>4</xdr:col>
      <xdr:colOff>5354</xdr:colOff>
      <xdr:row>6</xdr:row>
      <xdr:rowOff>26392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EB3099-3FB7-1FAE-1E06-C7127A45C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868" b="26406"/>
        <a:stretch>
          <a:fillRect/>
        </a:stretch>
      </xdr:blipFill>
      <xdr:spPr>
        <a:xfrm>
          <a:off x="225134" y="198121"/>
          <a:ext cx="4420800" cy="971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24C6-207C-4E69-9A0E-16CF940F61F2}">
  <dimension ref="A1:H51"/>
  <sheetViews>
    <sheetView showGridLines="0" showRowColHeaders="0" tabSelected="1" zoomScaleNormal="100" workbookViewId="0">
      <selection activeCell="C5" sqref="C5"/>
    </sheetView>
  </sheetViews>
  <sheetFormatPr defaultColWidth="0" defaultRowHeight="15" customHeight="1" zeroHeight="1" x14ac:dyDescent="0.3"/>
  <cols>
    <col min="1" max="1" width="3.21875" style="39" bestFit="1" customWidth="1"/>
    <col min="2" max="2" width="32.21875" style="39" customWidth="1"/>
    <col min="3" max="4" width="16.109375" style="39" customWidth="1"/>
    <col min="5" max="5" width="2.88671875" style="39" customWidth="1"/>
    <col min="6" max="6" width="25.44140625" style="39" hidden="1"/>
    <col min="7" max="7" width="14" style="39" hidden="1"/>
    <col min="8" max="8" width="10.5546875" style="39" hidden="1"/>
    <col min="9" max="16384" width="8.77734375" style="39" hidden="1"/>
  </cols>
  <sheetData>
    <row r="1" spans="2:4" ht="15" customHeight="1" x14ac:dyDescent="0.3"/>
    <row r="2" spans="2:4" ht="15" customHeight="1" x14ac:dyDescent="0.3"/>
    <row r="3" spans="2:4" ht="15" customHeight="1" x14ac:dyDescent="0.3"/>
    <row r="4" spans="2:4" ht="15" customHeight="1" x14ac:dyDescent="0.3"/>
    <row r="5" spans="2:4" ht="15" customHeight="1" x14ac:dyDescent="0.3"/>
    <row r="6" spans="2:4" ht="15" customHeight="1" x14ac:dyDescent="0.3"/>
    <row r="7" spans="2:4" ht="15" customHeight="1" thickBot="1" x14ac:dyDescent="0.35"/>
    <row r="8" spans="2:4" ht="15" customHeight="1" x14ac:dyDescent="0.3">
      <c r="B8" s="43" t="s">
        <v>0</v>
      </c>
      <c r="C8" s="44"/>
      <c r="D8" s="45"/>
    </row>
    <row r="9" spans="2:4" ht="15" customHeight="1" x14ac:dyDescent="0.3">
      <c r="B9" s="64" t="s">
        <v>1</v>
      </c>
      <c r="C9" s="65"/>
      <c r="D9" s="46">
        <v>5600</v>
      </c>
    </row>
    <row r="10" spans="2:4" ht="15" customHeight="1" x14ac:dyDescent="0.3">
      <c r="B10" s="64" t="s">
        <v>2</v>
      </c>
      <c r="C10" s="65"/>
      <c r="D10" s="82">
        <v>0.01</v>
      </c>
    </row>
    <row r="11" spans="2:4" ht="15" customHeight="1" thickBot="1" x14ac:dyDescent="0.35">
      <c r="B11" s="66" t="s">
        <v>3</v>
      </c>
      <c r="C11" s="67"/>
      <c r="D11" s="90">
        <f>D9*30%</f>
        <v>1680</v>
      </c>
    </row>
    <row r="12" spans="2:4" ht="15" customHeight="1" thickBot="1" x14ac:dyDescent="0.35"/>
    <row r="13" spans="2:4" ht="15" customHeight="1" x14ac:dyDescent="0.3">
      <c r="B13" s="48" t="s">
        <v>12</v>
      </c>
      <c r="C13" s="49"/>
      <c r="D13" s="50" t="s">
        <v>19</v>
      </c>
    </row>
    <row r="14" spans="2:4" ht="15" customHeight="1" thickBot="1" x14ac:dyDescent="0.35">
      <c r="B14" s="51" t="s">
        <v>22</v>
      </c>
      <c r="C14" s="52"/>
      <c r="D14" s="53">
        <f>D11</f>
        <v>1680</v>
      </c>
    </row>
    <row r="15" spans="2:4" ht="15" customHeight="1" thickBot="1" x14ac:dyDescent="0.35"/>
    <row r="16" spans="2:4" ht="15" customHeight="1" x14ac:dyDescent="0.3">
      <c r="B16" s="54" t="s">
        <v>14</v>
      </c>
      <c r="C16" s="55" t="s">
        <v>21</v>
      </c>
      <c r="D16" s="56" t="s">
        <v>15</v>
      </c>
    </row>
    <row r="17" spans="1:4" ht="15" customHeight="1" x14ac:dyDescent="0.3">
      <c r="B17" s="57" t="s">
        <v>28</v>
      </c>
      <c r="C17" s="58">
        <f>VLOOKUP($D$13&amp;"-"&amp;B17,BaseApoio!$B:$E,4,0)</f>
        <v>0.3</v>
      </c>
      <c r="D17" s="59">
        <f>C17*$D$14</f>
        <v>504</v>
      </c>
    </row>
    <row r="18" spans="1:4" ht="15" customHeight="1" x14ac:dyDescent="0.3">
      <c r="B18" s="57" t="s">
        <v>29</v>
      </c>
      <c r="C18" s="58">
        <f>VLOOKUP($D$13&amp;"-"&amp;B18,BaseApoio!$B:$E,4,0)</f>
        <v>0.5</v>
      </c>
      <c r="D18" s="59">
        <f>C18*$D$14</f>
        <v>840</v>
      </c>
    </row>
    <row r="19" spans="1:4" ht="15" customHeight="1" x14ac:dyDescent="0.3">
      <c r="B19" s="57" t="s">
        <v>32</v>
      </c>
      <c r="C19" s="58">
        <f>VLOOKUP($D$13&amp;"-"&amp;B19,BaseApoio!$B:$E,4,0)</f>
        <v>0.05</v>
      </c>
      <c r="D19" s="59">
        <f>C19*$D$14</f>
        <v>84</v>
      </c>
    </row>
    <row r="20" spans="1:4" ht="15" customHeight="1" x14ac:dyDescent="0.3">
      <c r="B20" s="57" t="s">
        <v>16</v>
      </c>
      <c r="C20" s="58">
        <f>VLOOKUP($D$13&amp;"-"&amp;B20,BaseApoio!$B:$E,4,0)</f>
        <v>0.05</v>
      </c>
      <c r="D20" s="59">
        <f>C20*$D$14</f>
        <v>84</v>
      </c>
    </row>
    <row r="21" spans="1:4" ht="15" customHeight="1" x14ac:dyDescent="0.3">
      <c r="B21" s="57" t="s">
        <v>30</v>
      </c>
      <c r="C21" s="58">
        <f>VLOOKUP($D$13&amp;"-"&amp;B21,BaseApoio!$B:$E,4,0)</f>
        <v>0</v>
      </c>
      <c r="D21" s="59">
        <f>C21*$D$14</f>
        <v>0</v>
      </c>
    </row>
    <row r="22" spans="1:4" ht="15" customHeight="1" thickBot="1" x14ac:dyDescent="0.35">
      <c r="B22" s="60" t="s">
        <v>31</v>
      </c>
      <c r="C22" s="61">
        <f>VLOOKUP($D$13&amp;"-"&amp;B22,BaseApoio!$B:$E,4,0)</f>
        <v>0.1</v>
      </c>
      <c r="D22" s="47">
        <f>C22*$D$14</f>
        <v>168</v>
      </c>
    </row>
    <row r="23" spans="1:4" ht="15" customHeight="1" thickBot="1" x14ac:dyDescent="0.35">
      <c r="B23" s="40"/>
      <c r="C23" s="40"/>
      <c r="D23" s="42">
        <f>SUM(D17:D22)</f>
        <v>1680</v>
      </c>
    </row>
    <row r="24" spans="1:4" ht="15" customHeight="1" thickBot="1" x14ac:dyDescent="0.35"/>
    <row r="25" spans="1:4" ht="15" customHeight="1" x14ac:dyDescent="0.3">
      <c r="B25" s="68" t="s">
        <v>4</v>
      </c>
      <c r="C25" s="69"/>
      <c r="D25" s="70"/>
    </row>
    <row r="26" spans="1:4" ht="15" customHeight="1" x14ac:dyDescent="0.3">
      <c r="B26" s="71" t="s">
        <v>5</v>
      </c>
      <c r="C26" s="72"/>
      <c r="D26" s="62">
        <v>1200</v>
      </c>
    </row>
    <row r="27" spans="1:4" ht="15" customHeight="1" x14ac:dyDescent="0.3">
      <c r="B27" s="71" t="s">
        <v>6</v>
      </c>
      <c r="C27" s="72"/>
      <c r="D27" s="63">
        <v>5</v>
      </c>
    </row>
    <row r="28" spans="1:4" ht="15" customHeight="1" x14ac:dyDescent="0.3">
      <c r="B28" s="71" t="s">
        <v>7</v>
      </c>
      <c r="C28" s="72"/>
      <c r="D28" s="89">
        <v>1.0789999999999999E-2</v>
      </c>
    </row>
    <row r="29" spans="1:4" ht="15" customHeight="1" x14ac:dyDescent="0.3">
      <c r="B29" s="73" t="s">
        <v>8</v>
      </c>
      <c r="C29" s="74"/>
      <c r="D29" s="77">
        <f>FV(D28,D27*12,D26*-1)</f>
        <v>100532.29679818517</v>
      </c>
    </row>
    <row r="30" spans="1:4" ht="15" customHeight="1" thickBot="1" x14ac:dyDescent="0.35">
      <c r="B30" s="75" t="s">
        <v>9</v>
      </c>
      <c r="C30" s="76"/>
      <c r="D30" s="78">
        <f>D29*D10</f>
        <v>1005.3229679818517</v>
      </c>
    </row>
    <row r="31" spans="1:4" ht="15" customHeight="1" thickBot="1" x14ac:dyDescent="0.35">
      <c r="A31" s="41">
        <v>2</v>
      </c>
    </row>
    <row r="32" spans="1:4" ht="15" customHeight="1" x14ac:dyDescent="0.3">
      <c r="A32" s="41">
        <v>5</v>
      </c>
      <c r="B32" s="79" t="s">
        <v>10</v>
      </c>
      <c r="C32" s="80"/>
      <c r="D32" s="81" t="s">
        <v>11</v>
      </c>
    </row>
    <row r="33" spans="1:4" ht="15" customHeight="1" x14ac:dyDescent="0.3">
      <c r="A33" s="41">
        <v>10</v>
      </c>
      <c r="B33" s="83" t="s">
        <v>23</v>
      </c>
      <c r="C33" s="84">
        <f>FV($D$28,$A31*12,$D$26*-1)</f>
        <v>32673.152757174259</v>
      </c>
      <c r="D33" s="85">
        <f>C33*$D$10</f>
        <v>326.73152757174262</v>
      </c>
    </row>
    <row r="34" spans="1:4" ht="15" customHeight="1" x14ac:dyDescent="0.3">
      <c r="A34" s="41">
        <v>20</v>
      </c>
      <c r="B34" s="83" t="s">
        <v>24</v>
      </c>
      <c r="C34" s="84">
        <f>FV($D$28,$A32*12,$D$26*-1)</f>
        <v>100532.29679818517</v>
      </c>
      <c r="D34" s="85">
        <f t="shared" ref="D34:D37" si="0">C34*$D$10</f>
        <v>1005.3229679818517</v>
      </c>
    </row>
    <row r="35" spans="1:4" ht="15" customHeight="1" x14ac:dyDescent="0.3">
      <c r="A35" s="41">
        <v>30</v>
      </c>
      <c r="B35" s="83" t="s">
        <v>25</v>
      </c>
      <c r="C35" s="84">
        <f>FV($D$28,$A33*12,$D$26*-1)</f>
        <v>291941.05503620661</v>
      </c>
      <c r="D35" s="85">
        <f t="shared" si="0"/>
        <v>2919.4105503620663</v>
      </c>
    </row>
    <row r="36" spans="1:4" ht="15" customHeight="1" x14ac:dyDescent="0.3">
      <c r="B36" s="83" t="s">
        <v>26</v>
      </c>
      <c r="C36" s="84">
        <f>FV($D$28,$A34*12,$D$26*-1)</f>
        <v>1350238.0801164967</v>
      </c>
      <c r="D36" s="85">
        <f t="shared" si="0"/>
        <v>13502.380801164967</v>
      </c>
    </row>
    <row r="37" spans="1:4" ht="15" customHeight="1" thickBot="1" x14ac:dyDescent="0.35">
      <c r="B37" s="86" t="s">
        <v>27</v>
      </c>
      <c r="C37" s="87">
        <f>FV($D$28,$A35*12,$D$26*-1)</f>
        <v>5186603.586005657</v>
      </c>
      <c r="D37" s="88">
        <f t="shared" si="0"/>
        <v>51866.035860056574</v>
      </c>
    </row>
    <row r="38" spans="1:4" ht="15" customHeight="1" x14ac:dyDescent="0.3"/>
    <row r="39" spans="1:4" ht="15" customHeight="1" x14ac:dyDescent="0.3"/>
    <row r="40" spans="1:4" ht="15" customHeight="1" x14ac:dyDescent="0.3"/>
    <row r="41" spans="1:4" ht="15" customHeight="1" x14ac:dyDescent="0.3"/>
    <row r="42" spans="1:4" ht="15" customHeight="1" x14ac:dyDescent="0.3"/>
    <row r="43" spans="1:4" ht="15" customHeight="1" x14ac:dyDescent="0.3"/>
    <row r="44" spans="1:4" ht="15" customHeight="1" x14ac:dyDescent="0.3"/>
    <row r="45" spans="1:4" ht="15" customHeight="1" x14ac:dyDescent="0.3"/>
    <row r="46" spans="1:4" ht="15" customHeight="1" x14ac:dyDescent="0.3"/>
    <row r="47" spans="1:4" ht="15" customHeight="1" x14ac:dyDescent="0.3"/>
    <row r="48" spans="1:4" ht="15" customHeight="1" x14ac:dyDescent="0.3"/>
    <row r="49" s="39" customFormat="1" ht="15" customHeight="1" x14ac:dyDescent="0.3"/>
    <row r="50" s="39" customFormat="1" ht="15" customHeight="1" x14ac:dyDescent="0.3"/>
    <row r="51" s="39" customFormat="1" ht="15" customHeight="1" x14ac:dyDescent="0.3"/>
  </sheetData>
  <mergeCells count="13">
    <mergeCell ref="B14:C14"/>
    <mergeCell ref="B11:C11"/>
    <mergeCell ref="B10:C10"/>
    <mergeCell ref="B9:C9"/>
    <mergeCell ref="B8:D8"/>
    <mergeCell ref="B13:C13"/>
    <mergeCell ref="B28:C28"/>
    <mergeCell ref="B29:C29"/>
    <mergeCell ref="B30:C30"/>
    <mergeCell ref="B32:C32"/>
    <mergeCell ref="B25:D25"/>
    <mergeCell ref="B26:C26"/>
    <mergeCell ref="B27:C2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6107AA-5401-47A9-9B9C-E2F47F542A1F}">
          <x14:formula1>
            <xm:f>BaseApoio!$H$3:$H$5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DC20-FB58-457E-9358-37A39D530885}">
  <dimension ref="B1:H20"/>
  <sheetViews>
    <sheetView showGridLines="0" showRowColHeaders="0" zoomScaleNormal="100" workbookViewId="0">
      <selection activeCell="I18" sqref="I18"/>
    </sheetView>
  </sheetViews>
  <sheetFormatPr defaultRowHeight="15.6" x14ac:dyDescent="0.3"/>
  <cols>
    <col min="1" max="1" width="2.88671875" style="1" customWidth="1"/>
    <col min="2" max="2" width="32.33203125" style="1" bestFit="1" customWidth="1"/>
    <col min="3" max="3" width="12.77734375" style="1" bestFit="1" customWidth="1"/>
    <col min="4" max="4" width="19.5546875" style="1" bestFit="1" customWidth="1"/>
    <col min="5" max="6" width="11.109375" style="2" customWidth="1"/>
    <col min="7" max="7" width="2.88671875" style="1" customWidth="1"/>
    <col min="8" max="8" width="12.77734375" style="1" bestFit="1" customWidth="1"/>
    <col min="9" max="16384" width="8.88671875" style="1"/>
  </cols>
  <sheetData>
    <row r="1" spans="2:8" ht="16.2" thickBot="1" x14ac:dyDescent="0.35"/>
    <row r="2" spans="2:8" s="37" customFormat="1" x14ac:dyDescent="0.3">
      <c r="B2" s="32" t="s">
        <v>17</v>
      </c>
      <c r="C2" s="33" t="s">
        <v>12</v>
      </c>
      <c r="D2" s="34" t="s">
        <v>14</v>
      </c>
      <c r="E2" s="35" t="s">
        <v>18</v>
      </c>
      <c r="F2" s="36"/>
      <c r="H2" s="38" t="s">
        <v>12</v>
      </c>
    </row>
    <row r="3" spans="2:8" x14ac:dyDescent="0.3">
      <c r="B3" s="11" t="str">
        <f>C3&amp;"-"&amp;D3</f>
        <v>Conservador-Papel</v>
      </c>
      <c r="C3" s="12" t="s">
        <v>19</v>
      </c>
      <c r="D3" s="13" t="s">
        <v>28</v>
      </c>
      <c r="E3" s="14">
        <v>0.3</v>
      </c>
      <c r="H3" s="30" t="s">
        <v>20</v>
      </c>
    </row>
    <row r="4" spans="2:8" x14ac:dyDescent="0.3">
      <c r="B4" s="11" t="str">
        <f t="shared" ref="B4:B20" si="0">C4&amp;"-"&amp;D4</f>
        <v>Conservador-Tijolo</v>
      </c>
      <c r="C4" s="12" t="s">
        <v>19</v>
      </c>
      <c r="D4" s="13" t="s">
        <v>29</v>
      </c>
      <c r="E4" s="14">
        <v>0.5</v>
      </c>
      <c r="H4" s="30" t="s">
        <v>19</v>
      </c>
    </row>
    <row r="5" spans="2:8" ht="16.2" thickBot="1" x14ac:dyDescent="0.35">
      <c r="B5" s="11" t="str">
        <f t="shared" si="0"/>
        <v>Conservador-Híbrido</v>
      </c>
      <c r="C5" s="12" t="s">
        <v>19</v>
      </c>
      <c r="D5" s="13" t="s">
        <v>32</v>
      </c>
      <c r="E5" s="14">
        <v>0.05</v>
      </c>
      <c r="H5" s="31" t="s">
        <v>13</v>
      </c>
    </row>
    <row r="6" spans="2:8" x14ac:dyDescent="0.3">
      <c r="B6" s="11" t="str">
        <f t="shared" si="0"/>
        <v>Conservador-FOFs</v>
      </c>
      <c r="C6" s="12" t="s">
        <v>19</v>
      </c>
      <c r="D6" s="13" t="s">
        <v>16</v>
      </c>
      <c r="E6" s="14">
        <v>0.05</v>
      </c>
      <c r="H6"/>
    </row>
    <row r="7" spans="2:8" x14ac:dyDescent="0.3">
      <c r="B7" s="11" t="str">
        <f t="shared" si="0"/>
        <v>Conservador-Desenvolvimento</v>
      </c>
      <c r="C7" s="12" t="s">
        <v>19</v>
      </c>
      <c r="D7" s="13" t="s">
        <v>30</v>
      </c>
      <c r="E7" s="14">
        <v>0</v>
      </c>
      <c r="H7"/>
    </row>
    <row r="8" spans="2:8" ht="16.2" thickBot="1" x14ac:dyDescent="0.35">
      <c r="B8" s="15" t="str">
        <f t="shared" si="0"/>
        <v>Conservador-Hotelaria</v>
      </c>
      <c r="C8" s="16" t="s">
        <v>19</v>
      </c>
      <c r="D8" s="17" t="s">
        <v>31</v>
      </c>
      <c r="E8" s="18">
        <v>0.1</v>
      </c>
      <c r="F8" s="27">
        <f>SUM(E3:E8)</f>
        <v>1.0000000000000002</v>
      </c>
      <c r="H8"/>
    </row>
    <row r="9" spans="2:8" x14ac:dyDescent="0.3">
      <c r="B9" s="3" t="str">
        <f t="shared" si="0"/>
        <v>Moderado-Papel</v>
      </c>
      <c r="C9" s="4" t="s">
        <v>13</v>
      </c>
      <c r="D9" s="5" t="s">
        <v>28</v>
      </c>
      <c r="E9" s="6">
        <v>0.25</v>
      </c>
      <c r="H9"/>
    </row>
    <row r="10" spans="2:8" x14ac:dyDescent="0.3">
      <c r="B10" s="3" t="str">
        <f t="shared" si="0"/>
        <v>Moderado-Tijolo</v>
      </c>
      <c r="C10" s="4" t="s">
        <v>13</v>
      </c>
      <c r="D10" s="5" t="s">
        <v>29</v>
      </c>
      <c r="E10" s="6">
        <v>0.35</v>
      </c>
      <c r="H10"/>
    </row>
    <row r="11" spans="2:8" x14ac:dyDescent="0.3">
      <c r="B11" s="3" t="str">
        <f t="shared" si="0"/>
        <v>Moderado-Híbrido</v>
      </c>
      <c r="C11" s="4" t="s">
        <v>13</v>
      </c>
      <c r="D11" s="5" t="s">
        <v>32</v>
      </c>
      <c r="E11" s="6">
        <v>0.1</v>
      </c>
      <c r="H11"/>
    </row>
    <row r="12" spans="2:8" x14ac:dyDescent="0.3">
      <c r="B12" s="3" t="str">
        <f t="shared" si="0"/>
        <v>Moderado-FOFs</v>
      </c>
      <c r="C12" s="4" t="s">
        <v>13</v>
      </c>
      <c r="D12" s="5" t="s">
        <v>16</v>
      </c>
      <c r="E12" s="6">
        <v>0.05</v>
      </c>
      <c r="H12"/>
    </row>
    <row r="13" spans="2:8" x14ac:dyDescent="0.3">
      <c r="B13" s="3" t="str">
        <f t="shared" si="0"/>
        <v>Moderado-Desenvolvimento</v>
      </c>
      <c r="C13" s="4" t="s">
        <v>13</v>
      </c>
      <c r="D13" s="5" t="s">
        <v>30</v>
      </c>
      <c r="E13" s="6">
        <v>0.1</v>
      </c>
      <c r="H13"/>
    </row>
    <row r="14" spans="2:8" ht="16.2" thickBot="1" x14ac:dyDescent="0.35">
      <c r="B14" s="7" t="str">
        <f t="shared" si="0"/>
        <v>Moderado-Hotelaria</v>
      </c>
      <c r="C14" s="8" t="s">
        <v>13</v>
      </c>
      <c r="D14" s="9" t="s">
        <v>31</v>
      </c>
      <c r="E14" s="10">
        <v>0.15</v>
      </c>
      <c r="F14" s="28">
        <f>SUM(E9:E14)</f>
        <v>1</v>
      </c>
    </row>
    <row r="15" spans="2:8" x14ac:dyDescent="0.3">
      <c r="B15" s="19" t="str">
        <f t="shared" si="0"/>
        <v>Agressivo-Papel</v>
      </c>
      <c r="C15" s="20" t="s">
        <v>20</v>
      </c>
      <c r="D15" s="21" t="s">
        <v>28</v>
      </c>
      <c r="E15" s="22">
        <v>0.25</v>
      </c>
    </row>
    <row r="16" spans="2:8" x14ac:dyDescent="0.3">
      <c r="B16" s="19" t="str">
        <f t="shared" si="0"/>
        <v>Agressivo-Tijolo</v>
      </c>
      <c r="C16" s="20" t="s">
        <v>20</v>
      </c>
      <c r="D16" s="21" t="s">
        <v>29</v>
      </c>
      <c r="E16" s="22">
        <v>0.15</v>
      </c>
    </row>
    <row r="17" spans="2:6" x14ac:dyDescent="0.3">
      <c r="B17" s="19" t="str">
        <f t="shared" si="0"/>
        <v>Agressivo-Híbrido</v>
      </c>
      <c r="C17" s="20" t="s">
        <v>20</v>
      </c>
      <c r="D17" s="21" t="s">
        <v>32</v>
      </c>
      <c r="E17" s="22">
        <v>0.15</v>
      </c>
    </row>
    <row r="18" spans="2:6" x14ac:dyDescent="0.3">
      <c r="B18" s="19" t="str">
        <f t="shared" si="0"/>
        <v>Agressivo-FOFs</v>
      </c>
      <c r="C18" s="20" t="s">
        <v>20</v>
      </c>
      <c r="D18" s="21" t="s">
        <v>16</v>
      </c>
      <c r="E18" s="22">
        <v>0.1</v>
      </c>
    </row>
    <row r="19" spans="2:6" x14ac:dyDescent="0.3">
      <c r="B19" s="19" t="str">
        <f t="shared" si="0"/>
        <v>Agressivo-Desenvolvimento</v>
      </c>
      <c r="C19" s="20" t="s">
        <v>20</v>
      </c>
      <c r="D19" s="21" t="s">
        <v>30</v>
      </c>
      <c r="E19" s="22">
        <v>0.25</v>
      </c>
    </row>
    <row r="20" spans="2:6" ht="16.2" thickBot="1" x14ac:dyDescent="0.35">
      <c r="B20" s="23" t="str">
        <f t="shared" si="0"/>
        <v>Agressivo-Hotelaria</v>
      </c>
      <c r="C20" s="24" t="s">
        <v>20</v>
      </c>
      <c r="D20" s="25" t="s">
        <v>31</v>
      </c>
      <c r="E20" s="26">
        <v>0.1</v>
      </c>
      <c r="F20" s="29">
        <f>SUM(E15:E20)</f>
        <v>1</v>
      </c>
    </row>
  </sheetData>
  <sortState xmlns:xlrd2="http://schemas.microsoft.com/office/spreadsheetml/2017/richdata2" ref="H3:H13">
    <sortCondition ref="H3:H13"/>
  </sortState>
  <pageMargins left="0.511811024" right="0.511811024" top="0.78740157499999996" bottom="0.78740157499999996" header="0.31496062000000002" footer="0.31496062000000002"/>
  <ignoredErrors>
    <ignoredError sqref="F8:F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Visão</vt:lpstr>
      <vt:lpstr>BaseApoio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Unialfa</dc:creator>
  <cp:lastModifiedBy>Sergio Wanderson Magalhães Gonçalves</cp:lastModifiedBy>
  <dcterms:created xsi:type="dcterms:W3CDTF">2015-06-05T18:17:20Z</dcterms:created>
  <dcterms:modified xsi:type="dcterms:W3CDTF">2026-08-27T16:20:35Z</dcterms:modified>
</cp:coreProperties>
</file>